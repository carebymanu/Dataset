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B07838A2-6BDC-4518-BEE0-0F3B67BF68C2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Product Profitability" sheetId="1" r:id="rId1"/>
    <sheet name="Revenue Trend" sheetId="2" r:id="rId2"/>
    <sheet name="Cost Allocation" sheetId="3" r:id="rId3"/>
    <sheet name="Customer Metrics" sheetId="4" r:id="rId4"/>
    <sheet name="Comment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4" l="1"/>
  <c r="C10" i="4"/>
  <c r="B10" i="4"/>
  <c r="E9" i="4"/>
  <c r="D9" i="4"/>
  <c r="E8" i="4"/>
  <c r="D8" i="4"/>
  <c r="E7" i="4"/>
  <c r="D7" i="4"/>
  <c r="E6" i="4"/>
  <c r="D6" i="4"/>
  <c r="E5" i="4"/>
  <c r="D5" i="4"/>
  <c r="E10" i="3"/>
  <c r="D10" i="3"/>
  <c r="C10" i="3"/>
  <c r="E10" i="4" s="1"/>
  <c r="B10" i="3"/>
  <c r="F9" i="3"/>
  <c r="G9" i="3" s="1"/>
  <c r="F8" i="3"/>
  <c r="G8" i="3" s="1"/>
  <c r="F7" i="3"/>
  <c r="G7" i="3" s="1"/>
  <c r="F6" i="3"/>
  <c r="G6" i="3" s="1"/>
  <c r="F5" i="3"/>
  <c r="F10" i="2"/>
  <c r="G10" i="2" s="1"/>
  <c r="E10" i="2"/>
  <c r="D10" i="2"/>
  <c r="C10" i="2"/>
  <c r="B10" i="2"/>
  <c r="G9" i="2"/>
  <c r="G8" i="2"/>
  <c r="G7" i="2"/>
  <c r="G6" i="2"/>
  <c r="G5" i="2"/>
  <c r="F10" i="1"/>
  <c r="D10" i="1"/>
  <c r="E10" i="1" s="1"/>
  <c r="C10" i="1"/>
  <c r="B10" i="1"/>
  <c r="D10" i="4" s="1"/>
  <c r="G9" i="1"/>
  <c r="H9" i="1" s="1"/>
  <c r="D9" i="1"/>
  <c r="E9" i="1" s="1"/>
  <c r="D8" i="1"/>
  <c r="D7" i="1"/>
  <c r="G6" i="1"/>
  <c r="H6" i="1" s="1"/>
  <c r="E6" i="1"/>
  <c r="D6" i="1"/>
  <c r="D5" i="1"/>
  <c r="F10" i="3" l="1"/>
  <c r="G10" i="3" s="1"/>
  <c r="G5" i="3"/>
  <c r="G8" i="1"/>
  <c r="H8" i="1" s="1"/>
  <c r="E8" i="1"/>
  <c r="G7" i="1"/>
  <c r="H7" i="1" s="1"/>
  <c r="E7" i="1"/>
  <c r="G5" i="1"/>
  <c r="E5" i="1"/>
  <c r="H5" i="1" l="1"/>
  <c r="G10" i="1"/>
  <c r="H10" i="1" s="1"/>
</calcChain>
</file>

<file path=xl/sharedStrings.xml><?xml version="1.0" encoding="utf-8"?>
<sst xmlns="http://schemas.openxmlformats.org/spreadsheetml/2006/main" count="106" uniqueCount="72">
  <si>
    <t>Q1 2026 Product Profitability Analysis — SaaS Co.</t>
  </si>
  <si>
    <t>Contribution margin by product line | All figures in $ thousands</t>
  </si>
  <si>
    <t>Product</t>
  </si>
  <si>
    <t>Revenue</t>
  </si>
  <si>
    <t>COGS</t>
  </si>
  <si>
    <t>Gross Profit</t>
  </si>
  <si>
    <t>GM %</t>
  </si>
  <si>
    <t>OpEx Allocated</t>
  </si>
  <si>
    <t>Contribution Margin</t>
  </si>
  <si>
    <t>CM %</t>
  </si>
  <si>
    <t>Recommendation</t>
  </si>
  <si>
    <t>Core Platform</t>
  </si>
  <si>
    <t>Invest</t>
  </si>
  <si>
    <t>Analytics Add-on</t>
  </si>
  <si>
    <t>Double Down</t>
  </si>
  <si>
    <t>Professional Services</t>
  </si>
  <si>
    <t>Restructure Pricing</t>
  </si>
  <si>
    <t>Enterprise Tier</t>
  </si>
  <si>
    <t>Review Support Model</t>
  </si>
  <si>
    <t>Legacy Module</t>
  </si>
  <si>
    <t>Sunset</t>
  </si>
  <si>
    <t>Total</t>
  </si>
  <si>
    <t>Headline Finding</t>
  </si>
  <si>
    <t>Two products (Core Platform and Analytics Add-on) generate 95% of contribution margin. Legacy Module is operating at a loss.</t>
  </si>
  <si>
    <t>Quarterly Revenue Trend by Product</t>
  </si>
  <si>
    <t>Last 5 quarters | All figures in $ thousands</t>
  </si>
  <si>
    <t>Q1 2025</t>
  </si>
  <si>
    <t>Q2 2025</t>
  </si>
  <si>
    <t>Q3 2025</t>
  </si>
  <si>
    <t>Q4 2025</t>
  </si>
  <si>
    <t>Q1 2026</t>
  </si>
  <si>
    <t>5Q Growth %</t>
  </si>
  <si>
    <t>Trajectory</t>
  </si>
  <si>
    <t>Steady</t>
  </si>
  <si>
    <t>Accelerating</t>
  </si>
  <si>
    <t>Flat to Down</t>
  </si>
  <si>
    <t>Declining</t>
  </si>
  <si>
    <t>Total Revenue</t>
  </si>
  <si>
    <t>Q1 2026 OpEx Allocation by Product</t>
  </si>
  <si>
    <t>Operating costs allocated to each product line | All figures in $ thousands</t>
  </si>
  <si>
    <t>Sales &amp; Marketing</t>
  </si>
  <si>
    <t>Customer Success</t>
  </si>
  <si>
    <t>R&amp;D / Maintenance</t>
  </si>
  <si>
    <t>G&amp;A Allocation</t>
  </si>
  <si>
    <t>Total OpEx</t>
  </si>
  <si>
    <t>% of Revenue</t>
  </si>
  <si>
    <t>Q1 2026 Customer Metrics by Product</t>
  </si>
  <si>
    <t>Customer counts, concentration, and economics by product line</t>
  </si>
  <si>
    <t>Customer Count</t>
  </si>
  <si>
    <t>Top 10 % of Revenue</t>
  </si>
  <si>
    <t>Avg Revenue per Customer ($)</t>
  </si>
  <si>
    <t>Cost to Serve per Customer ($)</t>
  </si>
  <si>
    <t>Quarterly Churn %</t>
  </si>
  <si>
    <t>Concentration Risk</t>
  </si>
  <si>
    <t>Low</t>
  </si>
  <si>
    <t>Medium</t>
  </si>
  <si>
    <t>High</t>
  </si>
  <si>
    <t>Total / Average</t>
  </si>
  <si>
    <t>Q1 2026 Product Strategy Recommendations</t>
  </si>
  <si>
    <t>Per-product analysis and recommended action for the leadership team</t>
  </si>
  <si>
    <t>Rationale</t>
  </si>
  <si>
    <t>Decision Required</t>
  </si>
  <si>
    <t>Anchor product. Steady 15% growth across the last 5 quarters with healthy 31.5% contribution margin. Generates the largest absolute profit dollars. Continued investment in platform capabilities is justified by both market position and unit economics.</t>
  </si>
  <si>
    <t>Approve $2M incremental R&amp;D investment in H2 to maintain feature velocity</t>
  </si>
  <si>
    <t>Highest contribution margin in the portfolio at 65.0%. Generates 44% of total contribution on just 20% of revenue. Revenue growing at 69% over 5 quarters. The most underweighted opportunity in the portfolio.</t>
  </si>
  <si>
    <t>Pull forward Q3 advanced tier launch to Q2. Add 3 dedicated AEs and 1 PMM</t>
  </si>
  <si>
    <t>Contribution margin compressed to 5.2% due to high direct delivery costs (70% COGS) and elevated customer success allocation. Either the product is mispriced or it should be repositioned as a strategic enabler subsidized by Core Platform revenue.</t>
  </si>
  <si>
    <t>CFO and CRO to align on pricing model by end of Q2. Two viable options on the table</t>
  </si>
  <si>
    <t>Top 5 customers represent 62% of revenue, creating concentration risk. Cost to serve is $32K per customer per quarter, driven by white-glove support that may not be sustainable at scale. Margin is acceptable at 15.2% but compressed relative to peer SaaS benchmarks.</t>
  </si>
  <si>
    <t>Customer Success leadership to propose tiered support model with self-service for routine issues by Q2 end</t>
  </si>
  <si>
    <t>Negative contribution margin of -35.0%. Maintenance and support costs ($1.0M) exceed gross profit ($715K). Revenue declining 39% over 5 quarters with 12% quarterly churn. Continued operation is dilutive to overall profitability and consumes engineering capacity that should be redirected to Analytics.</t>
  </si>
  <si>
    <t>Approve 12-month sunset plan. Migrate remaining 180 customers to Core Platform with incentive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</si>
</sst>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&quot;($&quot;#,##0\);\-"/>
    <numFmt numFmtId="165" formatCode="0.0%;\(0.0%\);\-"/>
    <numFmt numFmtId="166" formatCode="#,##0;\(#,##0\);\-"/>
    <numFmt numFmtId="167" formatCode="\$#,##0"/>
  </numFmts>
  <fonts count="11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2"/>
      <color rgb="FF1F3864"/>
      <name val="Arial"/>
      <family val="2"/>
    </font>
    <font>
      <i/>
      <sz val="10"/>
      <name val="Arial"/>
      <family val="2"/>
    </font>
    <font>
      <b/>
      <sz val="10"/>
      <color rgb="FF1F38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5" fillId="0" borderId="1" xfId="0" applyNumberFormat="1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7" fillId="3" borderId="1" xfId="0" applyFont="1" applyFill="1" applyBorder="1"/>
    <xf numFmtId="164" fontId="7" fillId="3" borderId="1" xfId="0" applyNumberFormat="1" applyFont="1" applyFill="1" applyBorder="1"/>
    <xf numFmtId="165" fontId="7" fillId="3" borderId="1" xfId="0" applyNumberFormat="1" applyFont="1" applyFill="1" applyBorder="1"/>
    <xf numFmtId="0" fontId="8" fillId="0" borderId="0" xfId="0" applyFont="1"/>
    <xf numFmtId="166" fontId="5" fillId="0" borderId="1" xfId="0" applyNumberFormat="1" applyFont="1" applyBorder="1"/>
    <xf numFmtId="165" fontId="5" fillId="0" borderId="1" xfId="0" applyNumberFormat="1" applyFont="1" applyBorder="1"/>
    <xf numFmtId="167" fontId="6" fillId="0" borderId="1" xfId="0" applyNumberFormat="1" applyFont="1" applyBorder="1"/>
    <xf numFmtId="166" fontId="7" fillId="3" borderId="1" xfId="0" applyNumberFormat="1" applyFont="1" applyFill="1" applyBorder="1"/>
    <xf numFmtId="167" fontId="7" fillId="3" borderId="1" xfId="0" applyNumberFormat="1" applyFont="1" applyFill="1" applyBorder="1"/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0" fontId="1" fillId="0" borderId="0" xfId="0" applyFont="1"/>
    <xf numFmtId="0" fontId="2" fillId="0" borderId="0" xfId="0" applyFont="1"/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zoomScaleNormal="100" workbookViewId="0">
      <selection activeCell="O14" sqref="O14"/>
    </sheetView>
  </sheetViews>
  <sheetFormatPr defaultColWidth="8.7109375" defaultRowHeight="15" x14ac:dyDescent="0.25"/>
  <cols>
    <col min="1" max="1" width="24" customWidth="1"/>
    <col min="2" max="3" width="13" customWidth="1"/>
    <col min="4" max="4" width="14" customWidth="1"/>
    <col min="5" max="5" width="10" customWidth="1"/>
    <col min="6" max="6" width="16" customWidth="1"/>
    <col min="7" max="7" width="18" customWidth="1"/>
    <col min="8" max="8" width="10" customWidth="1"/>
    <col min="9" max="9" width="22" customWidth="1"/>
  </cols>
  <sheetData>
    <row r="1" spans="1:9" ht="20.2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</row>
    <row r="4" spans="1:9" ht="30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25">
      <c r="A5" s="2" t="s">
        <v>11</v>
      </c>
      <c r="B5" s="3">
        <v>13200</v>
      </c>
      <c r="C5" s="3">
        <v>2640</v>
      </c>
      <c r="D5" s="4">
        <f>B5-C5</f>
        <v>10560</v>
      </c>
      <c r="E5" s="5">
        <f t="shared" ref="E5:E10" si="0">IFERROR(D5/B5,0)</f>
        <v>0.8</v>
      </c>
      <c r="F5" s="3">
        <v>6400</v>
      </c>
      <c r="G5" s="4">
        <f>D5-F5</f>
        <v>4160</v>
      </c>
      <c r="H5" s="5">
        <f t="shared" ref="H5:H10" si="1">IFERROR(G5/B5,0)</f>
        <v>0.31515151515151513</v>
      </c>
      <c r="I5" s="6" t="s">
        <v>12</v>
      </c>
    </row>
    <row r="6" spans="1:9" x14ac:dyDescent="0.25">
      <c r="A6" s="2" t="s">
        <v>13</v>
      </c>
      <c r="B6" s="3">
        <v>5400</v>
      </c>
      <c r="C6" s="3">
        <v>540</v>
      </c>
      <c r="D6" s="4">
        <f>B6-C6</f>
        <v>4860</v>
      </c>
      <c r="E6" s="5">
        <f t="shared" si="0"/>
        <v>0.9</v>
      </c>
      <c r="F6" s="3">
        <v>1350</v>
      </c>
      <c r="G6" s="4">
        <f>D6-F6</f>
        <v>3510</v>
      </c>
      <c r="H6" s="5">
        <f t="shared" si="1"/>
        <v>0.65</v>
      </c>
      <c r="I6" s="6" t="s">
        <v>14</v>
      </c>
    </row>
    <row r="7" spans="1:9" x14ac:dyDescent="0.25">
      <c r="A7" s="2" t="s">
        <v>15</v>
      </c>
      <c r="B7" s="3">
        <v>2500</v>
      </c>
      <c r="C7" s="3">
        <v>1750</v>
      </c>
      <c r="D7" s="4">
        <f>B7-C7</f>
        <v>750</v>
      </c>
      <c r="E7" s="5">
        <f t="shared" si="0"/>
        <v>0.3</v>
      </c>
      <c r="F7" s="3">
        <v>620</v>
      </c>
      <c r="G7" s="4">
        <f>D7-F7</f>
        <v>130</v>
      </c>
      <c r="H7" s="5">
        <f t="shared" si="1"/>
        <v>5.1999999999999998E-2</v>
      </c>
      <c r="I7" s="6" t="s">
        <v>16</v>
      </c>
    </row>
    <row r="8" spans="1:9" x14ac:dyDescent="0.25">
      <c r="A8" s="2" t="s">
        <v>17</v>
      </c>
      <c r="B8" s="3">
        <v>4200</v>
      </c>
      <c r="C8" s="3">
        <v>1260</v>
      </c>
      <c r="D8" s="4">
        <f>B8-C8</f>
        <v>2940</v>
      </c>
      <c r="E8" s="5">
        <f t="shared" si="0"/>
        <v>0.7</v>
      </c>
      <c r="F8" s="3">
        <v>2300</v>
      </c>
      <c r="G8" s="4">
        <f>D8-F8</f>
        <v>640</v>
      </c>
      <c r="H8" s="5">
        <f t="shared" si="1"/>
        <v>0.15238095238095239</v>
      </c>
      <c r="I8" s="6" t="s">
        <v>18</v>
      </c>
    </row>
    <row r="9" spans="1:9" x14ac:dyDescent="0.25">
      <c r="A9" s="2" t="s">
        <v>19</v>
      </c>
      <c r="B9" s="3">
        <v>1100</v>
      </c>
      <c r="C9" s="3">
        <v>385</v>
      </c>
      <c r="D9" s="4">
        <f>B9-C9</f>
        <v>715</v>
      </c>
      <c r="E9" s="5">
        <f t="shared" si="0"/>
        <v>0.65</v>
      </c>
      <c r="F9" s="3">
        <v>1100</v>
      </c>
      <c r="G9" s="4">
        <f>D9-F9</f>
        <v>-385</v>
      </c>
      <c r="H9" s="5">
        <f t="shared" si="1"/>
        <v>-0.35</v>
      </c>
      <c r="I9" s="6" t="s">
        <v>20</v>
      </c>
    </row>
    <row r="10" spans="1:9" x14ac:dyDescent="0.25">
      <c r="A10" s="7" t="s">
        <v>21</v>
      </c>
      <c r="B10" s="8">
        <f>SUM(B5:B9)</f>
        <v>26400</v>
      </c>
      <c r="C10" s="8">
        <f>SUM(C5:C9)</f>
        <v>6575</v>
      </c>
      <c r="D10" s="8">
        <f>SUM(D5:D9)</f>
        <v>19825</v>
      </c>
      <c r="E10" s="9">
        <f t="shared" si="0"/>
        <v>0.75094696969696972</v>
      </c>
      <c r="F10" s="8">
        <f>SUM(F5:F9)</f>
        <v>11770</v>
      </c>
      <c r="G10" s="8">
        <f>SUM(G5:G9)</f>
        <v>8055</v>
      </c>
      <c r="H10" s="9">
        <f t="shared" si="1"/>
        <v>0.30511363636363636</v>
      </c>
      <c r="I10" s="7"/>
    </row>
    <row r="13" spans="1:9" ht="15.75" x14ac:dyDescent="0.25">
      <c r="A13" s="10" t="s">
        <v>22</v>
      </c>
    </row>
    <row r="14" spans="1:9" ht="15" customHeight="1" x14ac:dyDescent="0.25">
      <c r="A14" s="20" t="s">
        <v>23</v>
      </c>
      <c r="B14" s="20"/>
      <c r="C14" s="20"/>
      <c r="D14" s="20"/>
      <c r="E14" s="20"/>
      <c r="F14" s="20"/>
      <c r="G14" s="20"/>
      <c r="H14" s="20"/>
      <c r="I14" s="20"/>
    </row>
  </sheetData>
  <mergeCells count="3">
    <mergeCell ref="A1:I1"/>
    <mergeCell ref="A2:I2"/>
    <mergeCell ref="A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zoomScaleNormal="100" workbookViewId="0">
      <selection activeCell="F9" sqref="F9"/>
    </sheetView>
  </sheetViews>
  <sheetFormatPr defaultColWidth="8.7109375" defaultRowHeight="15" x14ac:dyDescent="0.25"/>
  <cols>
    <col min="1" max="1" width="24" customWidth="1"/>
    <col min="2" max="6" width="12" customWidth="1"/>
    <col min="7" max="7" width="13" customWidth="1"/>
    <col min="8" max="8" width="16" customWidth="1"/>
  </cols>
  <sheetData>
    <row r="1" spans="1:8" ht="20.25" x14ac:dyDescent="0.3">
      <c r="A1" s="18" t="s">
        <v>24</v>
      </c>
      <c r="B1" s="18"/>
      <c r="C1" s="18"/>
      <c r="D1" s="18"/>
      <c r="E1" s="18"/>
      <c r="F1" s="18"/>
      <c r="G1" s="18"/>
      <c r="H1" s="18"/>
    </row>
    <row r="2" spans="1:8" x14ac:dyDescent="0.25">
      <c r="A2" s="19" t="s">
        <v>25</v>
      </c>
      <c r="B2" s="19"/>
      <c r="C2" s="19"/>
      <c r="D2" s="19"/>
      <c r="E2" s="19"/>
      <c r="F2" s="19"/>
      <c r="G2" s="19"/>
      <c r="H2" s="19"/>
    </row>
    <row r="4" spans="1:8" ht="30" x14ac:dyDescent="0.25">
      <c r="A4" s="1" t="s">
        <v>2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</row>
    <row r="5" spans="1:8" x14ac:dyDescent="0.25">
      <c r="A5" s="2" t="s">
        <v>11</v>
      </c>
      <c r="B5" s="3">
        <v>11500</v>
      </c>
      <c r="C5" s="3">
        <v>12000</v>
      </c>
      <c r="D5" s="3">
        <v>12500</v>
      </c>
      <c r="E5" s="3">
        <v>13000</v>
      </c>
      <c r="F5" s="3">
        <v>13200</v>
      </c>
      <c r="G5" s="5">
        <f t="shared" ref="G5:G10" si="0">IFERROR((F5-B5)/B5,0)</f>
        <v>0.14782608695652175</v>
      </c>
      <c r="H5" s="6" t="s">
        <v>33</v>
      </c>
    </row>
    <row r="6" spans="1:8" x14ac:dyDescent="0.25">
      <c r="A6" s="2" t="s">
        <v>13</v>
      </c>
      <c r="B6" s="3">
        <v>3200</v>
      </c>
      <c r="C6" s="3">
        <v>3800</v>
      </c>
      <c r="D6" s="3">
        <v>4400</v>
      </c>
      <c r="E6" s="3">
        <v>5000</v>
      </c>
      <c r="F6" s="3">
        <v>5400</v>
      </c>
      <c r="G6" s="5">
        <f t="shared" si="0"/>
        <v>0.6875</v>
      </c>
      <c r="H6" s="6" t="s">
        <v>34</v>
      </c>
    </row>
    <row r="7" spans="1:8" x14ac:dyDescent="0.25">
      <c r="A7" s="2" t="s">
        <v>15</v>
      </c>
      <c r="B7" s="3">
        <v>2800</v>
      </c>
      <c r="C7" s="3">
        <v>2700</v>
      </c>
      <c r="D7" s="3">
        <v>2600</v>
      </c>
      <c r="E7" s="3">
        <v>2500</v>
      </c>
      <c r="F7" s="3">
        <v>2500</v>
      </c>
      <c r="G7" s="5">
        <f t="shared" si="0"/>
        <v>-0.10714285714285714</v>
      </c>
      <c r="H7" s="6" t="s">
        <v>35</v>
      </c>
    </row>
    <row r="8" spans="1:8" x14ac:dyDescent="0.25">
      <c r="A8" s="2" t="s">
        <v>17</v>
      </c>
      <c r="B8" s="3">
        <v>3500</v>
      </c>
      <c r="C8" s="3">
        <v>3800</v>
      </c>
      <c r="D8" s="3">
        <v>4000</v>
      </c>
      <c r="E8" s="3">
        <v>4100</v>
      </c>
      <c r="F8" s="3">
        <v>4200</v>
      </c>
      <c r="G8" s="5">
        <f t="shared" si="0"/>
        <v>0.2</v>
      </c>
      <c r="H8" s="6" t="s">
        <v>33</v>
      </c>
    </row>
    <row r="9" spans="1:8" x14ac:dyDescent="0.25">
      <c r="A9" s="2" t="s">
        <v>19</v>
      </c>
      <c r="B9" s="3">
        <v>1800</v>
      </c>
      <c r="C9" s="3">
        <v>1600</v>
      </c>
      <c r="D9" s="3">
        <v>1400</v>
      </c>
      <c r="E9" s="3">
        <v>1200</v>
      </c>
      <c r="F9" s="3">
        <v>1100</v>
      </c>
      <c r="G9" s="5">
        <f t="shared" si="0"/>
        <v>-0.3888888888888889</v>
      </c>
      <c r="H9" s="6" t="s">
        <v>36</v>
      </c>
    </row>
    <row r="10" spans="1:8" x14ac:dyDescent="0.25">
      <c r="A10" s="7" t="s">
        <v>37</v>
      </c>
      <c r="B10" s="8">
        <f>SUM(B5:B9)</f>
        <v>22800</v>
      </c>
      <c r="C10" s="8">
        <f>SUM(C5:C9)</f>
        <v>23900</v>
      </c>
      <c r="D10" s="8">
        <f>SUM(D5:D9)</f>
        <v>24900</v>
      </c>
      <c r="E10" s="8">
        <f>SUM(E5:E9)</f>
        <v>25800</v>
      </c>
      <c r="F10" s="8">
        <f>SUM(F5:F9)</f>
        <v>26400</v>
      </c>
      <c r="G10" s="9">
        <f t="shared" si="0"/>
        <v>0.15789473684210525</v>
      </c>
      <c r="H10" s="7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tabSelected="1" zoomScaleNormal="100" workbookViewId="0">
      <selection activeCell="F9" sqref="F9"/>
    </sheetView>
  </sheetViews>
  <sheetFormatPr defaultColWidth="8.7109375" defaultRowHeight="15" x14ac:dyDescent="0.25"/>
  <cols>
    <col min="1" max="1" width="24" customWidth="1"/>
    <col min="2" max="2" width="18" customWidth="1"/>
    <col min="3" max="3" width="17" customWidth="1"/>
    <col min="4" max="4" width="19" customWidth="1"/>
    <col min="5" max="5" width="16" customWidth="1"/>
    <col min="6" max="6" width="13" customWidth="1"/>
    <col min="7" max="7" width="14" customWidth="1"/>
  </cols>
  <sheetData>
    <row r="1" spans="1:7" ht="20.25" x14ac:dyDescent="0.3">
      <c r="A1" s="18" t="s">
        <v>38</v>
      </c>
      <c r="B1" s="18"/>
      <c r="C1" s="18"/>
      <c r="D1" s="18"/>
      <c r="E1" s="18"/>
      <c r="F1" s="18"/>
      <c r="G1" s="18"/>
    </row>
    <row r="2" spans="1:7" x14ac:dyDescent="0.25">
      <c r="A2" s="19" t="s">
        <v>39</v>
      </c>
      <c r="B2" s="19"/>
      <c r="C2" s="19"/>
      <c r="D2" s="19"/>
      <c r="E2" s="19"/>
      <c r="F2" s="19"/>
      <c r="G2" s="19"/>
    </row>
    <row r="4" spans="1:7" ht="30" x14ac:dyDescent="0.25">
      <c r="A4" s="1" t="s">
        <v>2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</row>
    <row r="5" spans="1:7" x14ac:dyDescent="0.25">
      <c r="A5" s="2" t="s">
        <v>11</v>
      </c>
      <c r="B5" s="3">
        <v>3200</v>
      </c>
      <c r="C5" s="3">
        <v>800</v>
      </c>
      <c r="D5" s="3">
        <v>2000</v>
      </c>
      <c r="E5" s="3">
        <v>400</v>
      </c>
      <c r="F5" s="4">
        <f>SUM(B5:E5)</f>
        <v>6400</v>
      </c>
      <c r="G5" s="5">
        <f>IFERROR(F5/'Product Profitability'!B5,0)</f>
        <v>0.48484848484848486</v>
      </c>
    </row>
    <row r="6" spans="1:7" x14ac:dyDescent="0.25">
      <c r="A6" s="2" t="s">
        <v>13</v>
      </c>
      <c r="B6" s="3">
        <v>400</v>
      </c>
      <c r="C6" s="3">
        <v>200</v>
      </c>
      <c r="D6" s="3">
        <v>600</v>
      </c>
      <c r="E6" s="3">
        <v>150</v>
      </c>
      <c r="F6" s="4">
        <f>SUM(B6:E6)</f>
        <v>1350</v>
      </c>
      <c r="G6" s="5">
        <f>IFERROR(F6/'Product Profitability'!B6,0)</f>
        <v>0.25</v>
      </c>
    </row>
    <row r="7" spans="1:7" x14ac:dyDescent="0.25">
      <c r="A7" s="2" t="s">
        <v>15</v>
      </c>
      <c r="B7" s="3">
        <v>200</v>
      </c>
      <c r="C7" s="3">
        <v>300</v>
      </c>
      <c r="D7" s="3">
        <v>50</v>
      </c>
      <c r="E7" s="3">
        <v>70</v>
      </c>
      <c r="F7" s="4">
        <f>SUM(B7:E7)</f>
        <v>620</v>
      </c>
      <c r="G7" s="5">
        <f>IFERROR(F7/'Product Profitability'!B7,0)</f>
        <v>0.248</v>
      </c>
    </row>
    <row r="8" spans="1:7" x14ac:dyDescent="0.25">
      <c r="A8" s="2" t="s">
        <v>17</v>
      </c>
      <c r="B8" s="3">
        <v>1100</v>
      </c>
      <c r="C8" s="3">
        <v>900</v>
      </c>
      <c r="D8" s="3">
        <v>200</v>
      </c>
      <c r="E8" s="3">
        <v>100</v>
      </c>
      <c r="F8" s="4">
        <f>SUM(B8:E8)</f>
        <v>2300</v>
      </c>
      <c r="G8" s="5">
        <f>IFERROR(F8/'Product Profitability'!B8,0)</f>
        <v>0.54761904761904767</v>
      </c>
    </row>
    <row r="9" spans="1:7" x14ac:dyDescent="0.25">
      <c r="A9" s="2" t="s">
        <v>19</v>
      </c>
      <c r="B9" s="3">
        <v>50</v>
      </c>
      <c r="C9" s="3">
        <v>500</v>
      </c>
      <c r="D9" s="3">
        <v>500</v>
      </c>
      <c r="E9" s="3">
        <v>50</v>
      </c>
      <c r="F9" s="4">
        <f>SUM(B9:E9)</f>
        <v>1100</v>
      </c>
      <c r="G9" s="5">
        <f>IFERROR(F9/'Product Profitability'!B9,0)</f>
        <v>1</v>
      </c>
    </row>
    <row r="10" spans="1:7" x14ac:dyDescent="0.25">
      <c r="A10" s="7" t="s">
        <v>21</v>
      </c>
      <c r="B10" s="8">
        <f>SUM(B5:B9)</f>
        <v>4950</v>
      </c>
      <c r="C10" s="8">
        <f>SUM(C5:C9)</f>
        <v>2700</v>
      </c>
      <c r="D10" s="8">
        <f>SUM(D5:D9)</f>
        <v>3350</v>
      </c>
      <c r="E10" s="8">
        <f>SUM(E5:E9)</f>
        <v>770</v>
      </c>
      <c r="F10" s="8">
        <f>SUM(F5:F9)</f>
        <v>11770</v>
      </c>
      <c r="G10" s="9">
        <f>IFERROR(F10/'Product Profitability'!B10,0)</f>
        <v>0.44583333333333336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zoomScaleNormal="100" workbookViewId="0">
      <selection sqref="A1:G1"/>
    </sheetView>
  </sheetViews>
  <sheetFormatPr defaultColWidth="8.7109375" defaultRowHeight="15" x14ac:dyDescent="0.25"/>
  <cols>
    <col min="1" max="1" width="24" customWidth="1"/>
    <col min="2" max="2" width="16" customWidth="1"/>
    <col min="3" max="3" width="19" customWidth="1"/>
    <col min="4" max="4" width="26" customWidth="1"/>
    <col min="5" max="5" width="28" customWidth="1"/>
    <col min="6" max="6" width="17" customWidth="1"/>
    <col min="7" max="7" width="19" customWidth="1"/>
  </cols>
  <sheetData>
    <row r="1" spans="1:7" ht="20.25" x14ac:dyDescent="0.3">
      <c r="A1" s="18" t="s">
        <v>46</v>
      </c>
      <c r="B1" s="18"/>
      <c r="C1" s="18"/>
      <c r="D1" s="18"/>
      <c r="E1" s="18"/>
      <c r="F1" s="18"/>
      <c r="G1" s="18"/>
    </row>
    <row r="2" spans="1:7" x14ac:dyDescent="0.25">
      <c r="A2" s="19" t="s">
        <v>47</v>
      </c>
      <c r="B2" s="19"/>
      <c r="C2" s="19"/>
      <c r="D2" s="19"/>
      <c r="E2" s="19"/>
      <c r="F2" s="19"/>
      <c r="G2" s="19"/>
    </row>
    <row r="4" spans="1:7" ht="30" x14ac:dyDescent="0.25">
      <c r="A4" s="1" t="s">
        <v>2</v>
      </c>
      <c r="B4" s="1" t="s">
        <v>48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53</v>
      </c>
    </row>
    <row r="5" spans="1:7" x14ac:dyDescent="0.25">
      <c r="A5" s="2" t="s">
        <v>11</v>
      </c>
      <c r="B5" s="11">
        <v>850</v>
      </c>
      <c r="C5" s="12">
        <v>0.18</v>
      </c>
      <c r="D5" s="13">
        <f>IFERROR('Product Profitability'!B5*1000/B5,0)</f>
        <v>15529.411764705883</v>
      </c>
      <c r="E5" s="13">
        <f>IFERROR('Cost Allocation'!C5*1000/B5,0)</f>
        <v>941.17647058823525</v>
      </c>
      <c r="F5" s="12">
        <v>0.02</v>
      </c>
      <c r="G5" s="6" t="s">
        <v>54</v>
      </c>
    </row>
    <row r="6" spans="1:7" x14ac:dyDescent="0.25">
      <c r="A6" s="2" t="s">
        <v>13</v>
      </c>
      <c r="B6" s="11">
        <v>420</v>
      </c>
      <c r="C6" s="12">
        <v>0.15</v>
      </c>
      <c r="D6" s="13">
        <f>IFERROR('Product Profitability'!B6*1000/B6,0)</f>
        <v>12857.142857142857</v>
      </c>
      <c r="E6" s="13">
        <f>IFERROR('Cost Allocation'!C6*1000/B6,0)</f>
        <v>476.1904761904762</v>
      </c>
      <c r="F6" s="12">
        <v>1.2E-2</v>
      </c>
      <c r="G6" s="6" t="s">
        <v>54</v>
      </c>
    </row>
    <row r="7" spans="1:7" x14ac:dyDescent="0.25">
      <c r="A7" s="2" t="s">
        <v>15</v>
      </c>
      <c r="B7" s="11">
        <v>95</v>
      </c>
      <c r="C7" s="12">
        <v>0.35</v>
      </c>
      <c r="D7" s="13">
        <f>IFERROR('Product Profitability'!B7*1000/B7,0)</f>
        <v>26315.78947368421</v>
      </c>
      <c r="E7" s="13">
        <f>IFERROR('Cost Allocation'!C7*1000/B7,0)</f>
        <v>3157.8947368421054</v>
      </c>
      <c r="F7" s="12">
        <v>0.08</v>
      </c>
      <c r="G7" s="6" t="s">
        <v>55</v>
      </c>
    </row>
    <row r="8" spans="1:7" x14ac:dyDescent="0.25">
      <c r="A8" s="2" t="s">
        <v>17</v>
      </c>
      <c r="B8" s="11">
        <v>28</v>
      </c>
      <c r="C8" s="12">
        <v>0.62</v>
      </c>
      <c r="D8" s="13">
        <f>IFERROR('Product Profitability'!B8*1000/B8,0)</f>
        <v>150000</v>
      </c>
      <c r="E8" s="13">
        <f>IFERROR('Cost Allocation'!C8*1000/B8,0)</f>
        <v>32142.857142857141</v>
      </c>
      <c r="F8" s="12">
        <v>5.0000000000000001E-3</v>
      </c>
      <c r="G8" s="6" t="s">
        <v>56</v>
      </c>
    </row>
    <row r="9" spans="1:7" x14ac:dyDescent="0.25">
      <c r="A9" s="2" t="s">
        <v>19</v>
      </c>
      <c r="B9" s="11">
        <v>180</v>
      </c>
      <c r="C9" s="12">
        <v>0.22</v>
      </c>
      <c r="D9" s="13">
        <f>IFERROR('Product Profitability'!B9*1000/B9,0)</f>
        <v>6111.1111111111113</v>
      </c>
      <c r="E9" s="13">
        <f>IFERROR('Cost Allocation'!C9*1000/B9,0)</f>
        <v>2777.7777777777778</v>
      </c>
      <c r="F9" s="12">
        <v>0.12</v>
      </c>
      <c r="G9" s="6" t="s">
        <v>20</v>
      </c>
    </row>
    <row r="10" spans="1:7" x14ac:dyDescent="0.25">
      <c r="A10" s="7" t="s">
        <v>57</v>
      </c>
      <c r="B10" s="14">
        <f>SUM(B5:B9)</f>
        <v>1573</v>
      </c>
      <c r="C10" s="9">
        <f>IFERROR(SUMPRODUCT(C5:C9,'Product Profitability'!B5:B9)/SUM('Product Profitability'!B5:B9),0)</f>
        <v>0.26162878787878791</v>
      </c>
      <c r="D10" s="15">
        <f>IFERROR('Product Profitability'!B10*1000/B10,0)</f>
        <v>16783.216783216783</v>
      </c>
      <c r="E10" s="15">
        <f>IFERROR('Cost Allocation'!C10*1000/B10,0)</f>
        <v>1716.4653528289891</v>
      </c>
      <c r="F10" s="9">
        <f>IFERROR(SUMPRODUCT(F5:F9,B5:B9)/B10,0)</f>
        <v>3.2663699936427204E-2</v>
      </c>
      <c r="G10" s="7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zoomScaleNormal="100" workbookViewId="0">
      <selection sqref="A1:D1"/>
    </sheetView>
  </sheetViews>
  <sheetFormatPr defaultColWidth="8.7109375" defaultRowHeight="15" x14ac:dyDescent="0.25"/>
  <cols>
    <col min="1" max="1" width="22" customWidth="1"/>
    <col min="2" max="2" width="18" customWidth="1"/>
    <col min="3" max="3" width="65" customWidth="1"/>
    <col min="4" max="4" width="50" customWidth="1"/>
  </cols>
  <sheetData>
    <row r="1" spans="1:4" ht="20.25" x14ac:dyDescent="0.3">
      <c r="A1" s="18" t="s">
        <v>58</v>
      </c>
      <c r="B1" s="18"/>
      <c r="C1" s="18"/>
      <c r="D1" s="18"/>
    </row>
    <row r="2" spans="1:4" x14ac:dyDescent="0.25">
      <c r="A2" s="19" t="s">
        <v>59</v>
      </c>
      <c r="B2" s="19"/>
      <c r="C2" s="19"/>
      <c r="D2" s="19"/>
    </row>
    <row r="4" spans="1:4" ht="30" x14ac:dyDescent="0.25">
      <c r="A4" s="1" t="s">
        <v>2</v>
      </c>
      <c r="B4" s="1" t="s">
        <v>10</v>
      </c>
      <c r="C4" s="1" t="s">
        <v>60</v>
      </c>
      <c r="D4" s="1" t="s">
        <v>61</v>
      </c>
    </row>
    <row r="5" spans="1:4" ht="90" customHeight="1" x14ac:dyDescent="0.25">
      <c r="A5" s="16" t="s">
        <v>11</v>
      </c>
      <c r="B5" s="17" t="s">
        <v>12</v>
      </c>
      <c r="C5" s="16" t="s">
        <v>62</v>
      </c>
      <c r="D5" s="16" t="s">
        <v>63</v>
      </c>
    </row>
    <row r="6" spans="1:4" ht="90" customHeight="1" x14ac:dyDescent="0.25">
      <c r="A6" s="16" t="s">
        <v>13</v>
      </c>
      <c r="B6" s="17" t="s">
        <v>14</v>
      </c>
      <c r="C6" s="16" t="s">
        <v>64</v>
      </c>
      <c r="D6" s="16" t="s">
        <v>65</v>
      </c>
    </row>
    <row r="7" spans="1:4" ht="90" customHeight="1" x14ac:dyDescent="0.25">
      <c r="A7" s="16" t="s">
        <v>15</v>
      </c>
      <c r="B7" s="17" t="s">
        <v>16</v>
      </c>
      <c r="C7" s="16" t="s">
        <v>66</v>
      </c>
      <c r="D7" s="16" t="s">
        <v>67</v>
      </c>
    </row>
    <row r="8" spans="1:4" ht="90" customHeight="1" x14ac:dyDescent="0.25">
      <c r="A8" s="16" t="s">
        <v>17</v>
      </c>
      <c r="B8" s="17" t="s">
        <v>18</v>
      </c>
      <c r="C8" s="16" t="s">
        <v>68</v>
      </c>
      <c r="D8" s="16" t="s">
        <v>69</v>
      </c>
    </row>
    <row r="9" spans="1:4" ht="90" customHeight="1" x14ac:dyDescent="0.25">
      <c r="A9" s="16" t="s">
        <v>19</v>
      </c>
      <c r="B9" s="17" t="s">
        <v>20</v>
      </c>
      <c r="C9" s="16" t="s">
        <v>70</v>
      </c>
      <c r="D9" s="16" t="s">
        <v>71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Profitability</vt:lpstr>
      <vt:lpstr>Revenue Trend</vt:lpstr>
      <vt:lpstr>Cost Allocation</vt:lpstr>
      <vt:lpstr>Customer Metrics</vt:lpstr>
      <vt:lpstr>Commentary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2026-07-15T03:55:27Z</dcterms:created>
  <dcterms:modified xsi:type="dcterms:W3CDTF">2026-07-15T03:55:35Z</dcterms:modified>
  <dc:language/>
</cp:coreProperties>
</file>